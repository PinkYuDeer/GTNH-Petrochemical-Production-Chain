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ky\Desktop\WorkSpace\python\GTNHPetroOptim\"/>
    </mc:Choice>
  </mc:AlternateContent>
  <xr:revisionPtr revIDLastSave="0" documentId="13_ncr:1_{B3FE0F8D-E14A-4C52-9A30-8836BDD88D8B}" xr6:coauthVersionLast="47" xr6:coauthVersionMax="47" xr10:uidLastSave="{00000000-0000-0000-0000-000000000000}"/>
  <bookViews>
    <workbookView xWindow="-120" yWindow="-120" windowWidth="29040" windowHeight="16440" activeTab="1" xr2:uid="{4E2814E1-B7C4-4669-AE6A-25D20D710BCA}"/>
  </bookViews>
  <sheets>
    <sheet name="石油蒸馏数据" sheetId="1" r:id="rId1"/>
    <sheet name="裂解数据" sheetId="2" r:id="rId2"/>
    <sheet name="裂解后蒸馏数据" sheetId="3" r:id="rId3"/>
  </sheets>
  <calcPr calcId="191029" iterate="1" iterateCount="10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B6" i="1"/>
</calcChain>
</file>

<file path=xl/sharedStrings.xml><?xml version="1.0" encoding="utf-8"?>
<sst xmlns="http://schemas.openxmlformats.org/spreadsheetml/2006/main" count="108" uniqueCount="41">
  <si>
    <t>油类型</t>
    <phoneticPr fontId="1" type="noConversion"/>
  </si>
  <si>
    <t>石油</t>
    <phoneticPr fontId="1" type="noConversion"/>
  </si>
  <si>
    <t>原油</t>
    <phoneticPr fontId="1" type="noConversion"/>
  </si>
  <si>
    <t>重油</t>
    <phoneticPr fontId="1" type="noConversion"/>
  </si>
  <si>
    <t>轻油</t>
    <phoneticPr fontId="1" type="noConversion"/>
  </si>
  <si>
    <t>极重油</t>
    <phoneticPr fontId="1" type="noConversion"/>
  </si>
  <si>
    <t>重燃油</t>
    <phoneticPr fontId="1" type="noConversion"/>
  </si>
  <si>
    <t>轻燃油</t>
    <phoneticPr fontId="1" type="noConversion"/>
  </si>
  <si>
    <t>石脑油</t>
    <phoneticPr fontId="1" type="noConversion"/>
  </si>
  <si>
    <t>炼油气</t>
    <phoneticPr fontId="1" type="noConversion"/>
  </si>
  <si>
    <t>（每1000L油产出含硫）</t>
    <phoneticPr fontId="1" type="noConversion"/>
  </si>
  <si>
    <t>环烷酸</t>
  </si>
  <si>
    <t>重燃油-直接蒸馏</t>
    <phoneticPr fontId="1" type="noConversion"/>
  </si>
  <si>
    <t>加氢-轻度</t>
    <phoneticPr fontId="1" type="noConversion"/>
  </si>
  <si>
    <t>加氢-中度</t>
    <phoneticPr fontId="1" type="noConversion"/>
  </si>
  <si>
    <t>加氢-重度</t>
    <phoneticPr fontId="1" type="noConversion"/>
  </si>
  <si>
    <t>蒸汽-轻度</t>
    <phoneticPr fontId="1" type="noConversion"/>
  </si>
  <si>
    <t>蒸汽-中度</t>
    <phoneticPr fontId="1" type="noConversion"/>
  </si>
  <si>
    <t>蒸汽-重度</t>
    <phoneticPr fontId="1" type="noConversion"/>
  </si>
  <si>
    <t>每1000L产出数据</t>
    <phoneticPr fontId="1" type="noConversion"/>
  </si>
  <si>
    <t>直接蒸馏</t>
    <phoneticPr fontId="1" type="noConversion"/>
  </si>
  <si>
    <t>苯酚</t>
  </si>
  <si>
    <t>甲苯</t>
  </si>
  <si>
    <t>苯</t>
  </si>
  <si>
    <t>乙烷</t>
  </si>
  <si>
    <t>甲烷</t>
  </si>
  <si>
    <t>丙烷</t>
  </si>
  <si>
    <t>丁烷</t>
  </si>
  <si>
    <t>氦气</t>
  </si>
  <si>
    <t>丙烯</t>
  </si>
  <si>
    <t>丁烯</t>
  </si>
  <si>
    <t>丁二烯</t>
  </si>
  <si>
    <t>小撮碳粉</t>
  </si>
  <si>
    <t>乙烯</t>
  </si>
  <si>
    <t>辛烷</t>
  </si>
  <si>
    <t>氢气</t>
  </si>
  <si>
    <t>乙烷、丙烷：要乙烯：轻度蒸汽  要氢气：重度加氢</t>
    <phoneticPr fontId="1" type="noConversion"/>
  </si>
  <si>
    <t>乙烷</t>
    <phoneticPr fontId="1" type="noConversion"/>
  </si>
  <si>
    <t>丙烷</t>
    <phoneticPr fontId="1" type="noConversion"/>
  </si>
  <si>
    <t>小堆碳粉</t>
  </si>
  <si>
    <t>裂化消耗氢气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</si>
</sst>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7D6C-C07A-4D2B-BC0D-5F4991E3346A}">
  <dimension ref="A1:I8"/>
  <sheetViews>
    <sheetView workbookViewId="0">
      <selection activeCell="F12" sqref="F12"/>
    </sheetView>
  </sheetViews>
  <sheetFormatPr defaultRowHeight="14.25" x14ac:dyDescent="0.2"/>
  <cols>
    <col min="1" max="1" width="11.25" style="1" customWidth="1"/>
    <col min="2" max="6" width="9" style="1"/>
    <col min="7" max="7" width="10" style="1" customWidth="1"/>
    <col min="8" max="16384" width="9" style="1"/>
  </cols>
  <sheetData>
    <row r="1" spans="1:9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11</v>
      </c>
      <c r="H1" s="2" t="s">
        <v>10</v>
      </c>
      <c r="I1" s="2"/>
    </row>
    <row r="2" spans="1:9" x14ac:dyDescent="0.2">
      <c r="A2" s="1" t="s">
        <v>1</v>
      </c>
      <c r="B2" s="1">
        <v>300</v>
      </c>
      <c r="C2" s="1">
        <v>1000</v>
      </c>
      <c r="D2" s="1">
        <v>400</v>
      </c>
      <c r="E2" s="1">
        <v>1200</v>
      </c>
      <c r="F2" s="1">
        <v>50</v>
      </c>
    </row>
    <row r="3" spans="1:9" x14ac:dyDescent="0.2">
      <c r="A3" s="1" t="s">
        <v>4</v>
      </c>
      <c r="B3" s="1">
        <v>70</v>
      </c>
      <c r="C3" s="1">
        <v>130</v>
      </c>
      <c r="D3" s="1">
        <v>200</v>
      </c>
      <c r="E3" s="1">
        <v>1600</v>
      </c>
      <c r="F3" s="1">
        <v>15</v>
      </c>
    </row>
    <row r="4" spans="1:9" x14ac:dyDescent="0.2">
      <c r="A4" s="1" t="s">
        <v>2</v>
      </c>
      <c r="B4" s="1">
        <v>100</v>
      </c>
      <c r="C4" s="1">
        <v>500</v>
      </c>
      <c r="D4" s="1">
        <v>1500</v>
      </c>
      <c r="E4" s="1">
        <v>600</v>
      </c>
      <c r="F4" s="1">
        <v>25</v>
      </c>
    </row>
    <row r="5" spans="1:9" x14ac:dyDescent="0.2">
      <c r="A5" s="1" t="s">
        <v>3</v>
      </c>
      <c r="B5" s="1">
        <v>1000</v>
      </c>
      <c r="C5" s="1">
        <v>4500</v>
      </c>
      <c r="D5" s="1">
        <v>150</v>
      </c>
      <c r="E5" s="1">
        <v>600</v>
      </c>
      <c r="F5" s="1">
        <v>50</v>
      </c>
    </row>
    <row r="6" spans="1:9" x14ac:dyDescent="0.2">
      <c r="A6" s="1" t="s">
        <v>5</v>
      </c>
      <c r="B6" s="1">
        <f>B5*1.5</f>
        <v>1500</v>
      </c>
      <c r="C6" s="1">
        <f t="shared" ref="C6:F6" si="0">C5*1.5</f>
        <v>6750</v>
      </c>
      <c r="D6" s="1">
        <f t="shared" si="0"/>
        <v>225</v>
      </c>
      <c r="E6" s="1">
        <f t="shared" si="0"/>
        <v>900</v>
      </c>
      <c r="F6" s="1">
        <f t="shared" si="0"/>
        <v>75</v>
      </c>
    </row>
    <row r="8" spans="1:9" x14ac:dyDescent="0.2">
      <c r="A8" s="1" t="s">
        <v>12</v>
      </c>
    </row>
  </sheetData>
  <mergeCells count="1">
    <mergeCell ref="H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B586-6B28-46BE-B223-40F741E15723}">
  <dimension ref="A1:H7"/>
  <sheetViews>
    <sheetView tabSelected="1" workbookViewId="0">
      <selection activeCell="N10" sqref="N10"/>
    </sheetView>
  </sheetViews>
  <sheetFormatPr defaultRowHeight="14.25" x14ac:dyDescent="0.2"/>
  <cols>
    <col min="1" max="1" width="9" style="1"/>
    <col min="2" max="7" width="9.375" style="1" customWidth="1"/>
    <col min="8" max="16384" width="9" style="1"/>
  </cols>
  <sheetData>
    <row r="1" spans="1:8" x14ac:dyDescent="0.2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20</v>
      </c>
    </row>
    <row r="2" spans="1:8" x14ac:dyDescent="0.2">
      <c r="A2" s="1" t="s">
        <v>9</v>
      </c>
      <c r="B2" s="1">
        <v>1000</v>
      </c>
      <c r="C2" s="1">
        <v>1000</v>
      </c>
      <c r="D2" s="1">
        <v>1000</v>
      </c>
      <c r="E2" s="1">
        <v>1200</v>
      </c>
      <c r="F2" s="1">
        <v>1200</v>
      </c>
      <c r="G2" s="1">
        <v>1200</v>
      </c>
      <c r="H2" s="1">
        <v>1000</v>
      </c>
    </row>
    <row r="3" spans="1:8" x14ac:dyDescent="0.2">
      <c r="A3" s="1" t="s">
        <v>7</v>
      </c>
      <c r="B3" s="1">
        <v>1000</v>
      </c>
      <c r="C3" s="1">
        <v>1000</v>
      </c>
      <c r="D3" s="1">
        <v>1000</v>
      </c>
      <c r="E3" s="1">
        <v>1200</v>
      </c>
      <c r="F3" s="1">
        <v>1200</v>
      </c>
      <c r="G3" s="1">
        <v>1200</v>
      </c>
    </row>
    <row r="4" spans="1:8" x14ac:dyDescent="0.2">
      <c r="A4" s="1" t="s">
        <v>6</v>
      </c>
      <c r="B4" s="1">
        <v>1000</v>
      </c>
      <c r="C4" s="1">
        <v>1000</v>
      </c>
      <c r="D4" s="1">
        <v>1000</v>
      </c>
      <c r="E4" s="1">
        <v>1200</v>
      </c>
      <c r="F4" s="1">
        <v>1200</v>
      </c>
      <c r="G4" s="1">
        <v>1200</v>
      </c>
      <c r="H4" s="1">
        <v>1000</v>
      </c>
    </row>
    <row r="5" spans="1:8" x14ac:dyDescent="0.2">
      <c r="A5" s="1" t="s">
        <v>8</v>
      </c>
      <c r="B5" s="1">
        <v>1000</v>
      </c>
      <c r="C5" s="1">
        <v>1000</v>
      </c>
      <c r="D5" s="1">
        <v>1000</v>
      </c>
      <c r="E5" s="1">
        <v>1200</v>
      </c>
      <c r="F5" s="1">
        <v>1200</v>
      </c>
      <c r="G5" s="1">
        <v>1200</v>
      </c>
    </row>
    <row r="6" spans="1:8" x14ac:dyDescent="0.2">
      <c r="A6" s="1" t="s">
        <v>37</v>
      </c>
      <c r="B6" s="1">
        <v>1000</v>
      </c>
      <c r="C6" s="1">
        <v>1000</v>
      </c>
      <c r="D6" s="1">
        <v>1000</v>
      </c>
      <c r="E6" s="1">
        <v>1200</v>
      </c>
      <c r="F6" s="1">
        <v>1200</v>
      </c>
      <c r="G6" s="1">
        <v>1200</v>
      </c>
    </row>
    <row r="7" spans="1:8" x14ac:dyDescent="0.2">
      <c r="A7" s="1" t="s">
        <v>38</v>
      </c>
      <c r="B7" s="1">
        <v>1000</v>
      </c>
      <c r="C7" s="1">
        <v>1000</v>
      </c>
      <c r="D7" s="1">
        <v>1000</v>
      </c>
      <c r="E7" s="1">
        <v>1200</v>
      </c>
      <c r="F7" s="1">
        <v>1200</v>
      </c>
      <c r="G7" s="1">
        <v>1200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EBB1-BF24-4633-863B-8E65781AB4B8}">
  <dimension ref="A1:V43"/>
  <sheetViews>
    <sheetView zoomScaleNormal="100" workbookViewId="0">
      <pane ySplit="1" topLeftCell="A2" activePane="bottomLeft" state="frozen"/>
      <selection pane="bottomLeft" activeCell="A36" sqref="A36"/>
    </sheetView>
  </sheetViews>
  <sheetFormatPr defaultRowHeight="14.25" x14ac:dyDescent="0.2"/>
  <cols>
    <col min="1" max="18" width="9" style="1"/>
    <col min="19" max="19" width="19.375" style="1" customWidth="1"/>
    <col min="20" max="16384" width="9" style="1"/>
  </cols>
  <sheetData>
    <row r="1" spans="1:22" x14ac:dyDescent="0.2">
      <c r="A1" t="s">
        <v>19</v>
      </c>
      <c r="C1" s="1" t="s">
        <v>7</v>
      </c>
      <c r="D1" s="1" t="s">
        <v>6</v>
      </c>
      <c r="E1" s="1" t="s">
        <v>8</v>
      </c>
      <c r="F1" s="1" t="s">
        <v>25</v>
      </c>
      <c r="G1" s="1" t="s">
        <v>24</v>
      </c>
      <c r="H1" s="1" t="s">
        <v>26</v>
      </c>
      <c r="I1" s="1" t="s">
        <v>27</v>
      </c>
      <c r="J1" s="1" t="s">
        <v>34</v>
      </c>
      <c r="K1" s="1" t="s">
        <v>33</v>
      </c>
      <c r="L1" s="1" t="s">
        <v>29</v>
      </c>
      <c r="M1" s="1" t="s">
        <v>30</v>
      </c>
      <c r="N1" s="1" t="s">
        <v>31</v>
      </c>
      <c r="O1" s="1" t="s">
        <v>23</v>
      </c>
      <c r="P1" s="1" t="s">
        <v>22</v>
      </c>
      <c r="Q1" s="1" t="s">
        <v>21</v>
      </c>
      <c r="R1" s="1" t="s">
        <v>35</v>
      </c>
      <c r="S1" s="1" t="s">
        <v>40</v>
      </c>
      <c r="T1" s="1" t="s">
        <v>28</v>
      </c>
      <c r="U1" s="1" t="s">
        <v>32</v>
      </c>
      <c r="V1" s="1" t="s">
        <v>39</v>
      </c>
    </row>
    <row r="2" spans="1:22" x14ac:dyDescent="0.2">
      <c r="A2" s="1" t="s">
        <v>9</v>
      </c>
      <c r="B2" s="1" t="s">
        <v>20</v>
      </c>
      <c r="F2" s="1">
        <v>750</v>
      </c>
      <c r="G2" s="1">
        <v>100</v>
      </c>
      <c r="H2" s="1">
        <v>70</v>
      </c>
      <c r="I2" s="1">
        <v>60</v>
      </c>
      <c r="T2" s="1">
        <v>20</v>
      </c>
    </row>
    <row r="3" spans="1:22" x14ac:dyDescent="0.2">
      <c r="A3" s="1" t="s">
        <v>9</v>
      </c>
      <c r="B3" s="1" t="s">
        <v>13</v>
      </c>
      <c r="F3" s="1">
        <v>1300</v>
      </c>
      <c r="R3" s="1">
        <v>1500</v>
      </c>
      <c r="S3" s="1">
        <v>1600</v>
      </c>
      <c r="T3" s="1">
        <v>100</v>
      </c>
    </row>
    <row r="4" spans="1:22" x14ac:dyDescent="0.2">
      <c r="A4" s="1" t="s">
        <v>9</v>
      </c>
      <c r="B4" s="1" t="s">
        <v>14</v>
      </c>
      <c r="F4" s="1">
        <v>1400</v>
      </c>
      <c r="R4" s="1">
        <v>3000</v>
      </c>
      <c r="S4" s="1">
        <v>3200</v>
      </c>
      <c r="T4" s="1">
        <v>150</v>
      </c>
    </row>
    <row r="5" spans="1:22" x14ac:dyDescent="0.2">
      <c r="A5" s="1" t="s">
        <v>9</v>
      </c>
      <c r="B5" s="1" t="s">
        <v>15</v>
      </c>
      <c r="F5" s="1">
        <v>1500</v>
      </c>
      <c r="R5" s="1">
        <v>4000</v>
      </c>
      <c r="S5" s="1">
        <v>4800</v>
      </c>
      <c r="T5" s="1">
        <v>200</v>
      </c>
    </row>
    <row r="6" spans="1:22" x14ac:dyDescent="0.2">
      <c r="A6" s="1" t="s">
        <v>9</v>
      </c>
      <c r="B6" s="1" t="s">
        <v>16</v>
      </c>
      <c r="F6" s="1">
        <v>500</v>
      </c>
      <c r="G6" s="1">
        <v>10</v>
      </c>
      <c r="K6" s="1">
        <v>100</v>
      </c>
      <c r="L6" s="1">
        <v>50</v>
      </c>
      <c r="T6" s="1">
        <v>50</v>
      </c>
      <c r="U6" s="1">
        <v>1</v>
      </c>
    </row>
    <row r="7" spans="1:22" x14ac:dyDescent="0.2">
      <c r="A7" s="1" t="s">
        <v>9</v>
      </c>
      <c r="B7" s="1" t="s">
        <v>17</v>
      </c>
      <c r="F7" s="1">
        <v>600</v>
      </c>
      <c r="G7" s="1">
        <v>50</v>
      </c>
      <c r="K7" s="1">
        <v>200</v>
      </c>
      <c r="L7" s="1">
        <v>10</v>
      </c>
      <c r="T7" s="1">
        <v>70</v>
      </c>
      <c r="U7" s="1">
        <v>1</v>
      </c>
    </row>
    <row r="8" spans="1:22" x14ac:dyDescent="0.2">
      <c r="A8" s="1" t="s">
        <v>9</v>
      </c>
      <c r="B8" s="1" t="s">
        <v>18</v>
      </c>
      <c r="F8" s="1">
        <v>700</v>
      </c>
      <c r="G8" s="1">
        <v>10</v>
      </c>
      <c r="K8" s="1">
        <v>300</v>
      </c>
      <c r="L8" s="1">
        <v>10</v>
      </c>
      <c r="T8" s="1">
        <v>100</v>
      </c>
      <c r="U8" s="1">
        <v>1</v>
      </c>
    </row>
    <row r="10" spans="1:22" x14ac:dyDescent="0.2">
      <c r="A10" s="1" t="s">
        <v>7</v>
      </c>
      <c r="B10" s="1" t="s">
        <v>13</v>
      </c>
      <c r="E10" s="1">
        <v>800</v>
      </c>
      <c r="F10" s="1">
        <v>125</v>
      </c>
      <c r="G10" s="1">
        <v>125</v>
      </c>
      <c r="H10" s="1">
        <v>200</v>
      </c>
      <c r="I10" s="1">
        <v>150</v>
      </c>
      <c r="J10" s="1">
        <v>100</v>
      </c>
    </row>
    <row r="11" spans="1:22" x14ac:dyDescent="0.2">
      <c r="A11" s="1" t="s">
        <v>7</v>
      </c>
      <c r="B11" s="1" t="s">
        <v>14</v>
      </c>
      <c r="E11" s="1">
        <v>500</v>
      </c>
      <c r="F11" s="1">
        <v>400</v>
      </c>
      <c r="G11" s="1">
        <v>400</v>
      </c>
      <c r="H11" s="1">
        <v>1100</v>
      </c>
      <c r="I11" s="1">
        <v>200</v>
      </c>
      <c r="J11" s="1">
        <v>50</v>
      </c>
    </row>
    <row r="12" spans="1:22" x14ac:dyDescent="0.2">
      <c r="A12" s="1" t="s">
        <v>7</v>
      </c>
      <c r="B12" s="1" t="s">
        <v>15</v>
      </c>
      <c r="E12" s="1">
        <v>200</v>
      </c>
      <c r="F12" s="1">
        <v>1500</v>
      </c>
      <c r="G12" s="1">
        <v>1500</v>
      </c>
      <c r="H12" s="1">
        <v>125</v>
      </c>
      <c r="I12" s="1">
        <v>125</v>
      </c>
      <c r="J12" s="1">
        <v>20</v>
      </c>
    </row>
    <row r="13" spans="1:22" x14ac:dyDescent="0.2">
      <c r="A13" s="1" t="s">
        <v>7</v>
      </c>
      <c r="B13" s="1" t="s">
        <v>16</v>
      </c>
      <c r="D13" s="1">
        <v>150</v>
      </c>
      <c r="E13" s="1">
        <v>400</v>
      </c>
      <c r="F13" s="1">
        <v>50</v>
      </c>
      <c r="G13" s="1">
        <v>10</v>
      </c>
      <c r="H13" s="1">
        <v>20</v>
      </c>
      <c r="K13" s="1">
        <v>50</v>
      </c>
      <c r="L13" s="1">
        <v>150</v>
      </c>
      <c r="M13" s="1">
        <v>75</v>
      </c>
      <c r="N13" s="1">
        <v>60</v>
      </c>
      <c r="O13" s="1">
        <v>200</v>
      </c>
      <c r="P13" s="1">
        <v>40</v>
      </c>
      <c r="U13" s="1">
        <v>1</v>
      </c>
    </row>
    <row r="14" spans="1:22" x14ac:dyDescent="0.2">
      <c r="A14" s="1" t="s">
        <v>7</v>
      </c>
      <c r="B14" s="1" t="s">
        <v>17</v>
      </c>
      <c r="D14" s="1">
        <v>100</v>
      </c>
      <c r="E14" s="1">
        <v>250</v>
      </c>
      <c r="F14" s="1">
        <v>150</v>
      </c>
      <c r="G14" s="1">
        <v>30</v>
      </c>
      <c r="H14" s="1">
        <v>35</v>
      </c>
      <c r="K14" s="1">
        <v>150</v>
      </c>
      <c r="L14" s="1">
        <v>200</v>
      </c>
      <c r="M14" s="1">
        <v>90</v>
      </c>
      <c r="N14" s="1">
        <v>75</v>
      </c>
      <c r="O14" s="1">
        <v>300</v>
      </c>
      <c r="P14" s="1">
        <v>50</v>
      </c>
      <c r="U14" s="1">
        <v>2</v>
      </c>
    </row>
    <row r="15" spans="1:22" x14ac:dyDescent="0.2">
      <c r="A15" s="1" t="s">
        <v>7</v>
      </c>
      <c r="B15" s="1" t="s">
        <v>18</v>
      </c>
      <c r="D15" s="1">
        <v>50</v>
      </c>
      <c r="E15" s="1">
        <v>100</v>
      </c>
      <c r="F15" s="1">
        <v>250</v>
      </c>
      <c r="G15" s="1">
        <v>50</v>
      </c>
      <c r="H15" s="1">
        <v>50</v>
      </c>
      <c r="K15" s="1">
        <v>250</v>
      </c>
      <c r="L15" s="1">
        <v>250</v>
      </c>
      <c r="M15" s="1">
        <v>65</v>
      </c>
      <c r="N15" s="1">
        <v>50</v>
      </c>
      <c r="O15" s="1">
        <v>150</v>
      </c>
      <c r="P15" s="1">
        <v>30</v>
      </c>
      <c r="U15" s="1">
        <v>3</v>
      </c>
    </row>
    <row r="17" spans="1:21" x14ac:dyDescent="0.2">
      <c r="A17" s="1" t="s">
        <v>6</v>
      </c>
      <c r="B17" s="1" t="s">
        <v>20</v>
      </c>
      <c r="O17" s="1">
        <v>250</v>
      </c>
      <c r="P17" s="1">
        <v>400</v>
      </c>
      <c r="Q17" s="1">
        <v>400</v>
      </c>
    </row>
    <row r="18" spans="1:21" x14ac:dyDescent="0.2">
      <c r="A18" s="1" t="s">
        <v>6</v>
      </c>
      <c r="B18" s="1" t="s">
        <v>13</v>
      </c>
      <c r="C18" s="1">
        <v>600</v>
      </c>
      <c r="E18" s="1">
        <v>100</v>
      </c>
      <c r="F18" s="1">
        <v>75</v>
      </c>
      <c r="G18" s="1">
        <v>75</v>
      </c>
      <c r="H18" s="1">
        <v>100</v>
      </c>
      <c r="I18" s="1">
        <v>100</v>
      </c>
      <c r="S18" s="1">
        <v>1600</v>
      </c>
    </row>
    <row r="19" spans="1:21" x14ac:dyDescent="0.2">
      <c r="A19" s="1" t="s">
        <v>6</v>
      </c>
      <c r="B19" s="1" t="s">
        <v>14</v>
      </c>
      <c r="C19" s="1">
        <v>400</v>
      </c>
      <c r="E19" s="1">
        <v>400</v>
      </c>
      <c r="F19" s="1">
        <v>100</v>
      </c>
      <c r="G19" s="1">
        <v>100</v>
      </c>
      <c r="H19" s="1">
        <v>150</v>
      </c>
      <c r="I19" s="1">
        <v>150</v>
      </c>
      <c r="S19" s="1">
        <v>3200</v>
      </c>
    </row>
    <row r="20" spans="1:21" x14ac:dyDescent="0.2">
      <c r="A20" s="1" t="s">
        <v>6</v>
      </c>
      <c r="B20" s="1" t="s">
        <v>15</v>
      </c>
      <c r="C20" s="1">
        <v>200</v>
      </c>
      <c r="E20" s="1">
        <v>250</v>
      </c>
      <c r="F20" s="1">
        <v>175</v>
      </c>
      <c r="G20" s="1">
        <v>175</v>
      </c>
      <c r="H20" s="1">
        <v>300</v>
      </c>
      <c r="I20" s="1">
        <v>300</v>
      </c>
      <c r="S20" s="1">
        <v>4800</v>
      </c>
    </row>
    <row r="21" spans="1:21" x14ac:dyDescent="0.2">
      <c r="A21" s="1" t="s">
        <v>6</v>
      </c>
      <c r="B21" s="1" t="s">
        <v>16</v>
      </c>
      <c r="C21" s="1">
        <v>300</v>
      </c>
      <c r="E21" s="1">
        <v>50</v>
      </c>
      <c r="F21" s="1">
        <v>50</v>
      </c>
      <c r="G21" s="1">
        <v>5</v>
      </c>
      <c r="H21" s="1">
        <v>3</v>
      </c>
      <c r="K21" s="1">
        <v>50</v>
      </c>
      <c r="L21" s="1">
        <v>30</v>
      </c>
      <c r="M21" s="1">
        <v>25</v>
      </c>
      <c r="N21" s="1">
        <v>15</v>
      </c>
      <c r="O21" s="1">
        <v>125</v>
      </c>
      <c r="P21" s="1">
        <v>25</v>
      </c>
      <c r="U21" s="1">
        <v>1</v>
      </c>
    </row>
    <row r="22" spans="1:21" x14ac:dyDescent="0.2">
      <c r="A22" s="1" t="s">
        <v>6</v>
      </c>
      <c r="B22" s="1" t="s">
        <v>17</v>
      </c>
      <c r="C22" s="1">
        <v>200</v>
      </c>
      <c r="E22" s="1">
        <v>200</v>
      </c>
      <c r="F22" s="1">
        <v>75</v>
      </c>
      <c r="G22" s="1">
        <v>7</v>
      </c>
      <c r="H22" s="1">
        <v>5</v>
      </c>
      <c r="K22" s="1">
        <v>75</v>
      </c>
      <c r="L22" s="1">
        <v>50</v>
      </c>
      <c r="M22" s="1">
        <v>40</v>
      </c>
      <c r="N22" s="1">
        <v>25</v>
      </c>
      <c r="O22" s="1">
        <v>200</v>
      </c>
      <c r="P22" s="1">
        <v>40</v>
      </c>
      <c r="U22" s="1">
        <v>2</v>
      </c>
    </row>
    <row r="23" spans="1:21" x14ac:dyDescent="0.2">
      <c r="A23" s="1" t="s">
        <v>6</v>
      </c>
      <c r="B23" s="1" t="s">
        <v>18</v>
      </c>
      <c r="C23" s="1">
        <v>100</v>
      </c>
      <c r="E23" s="1">
        <v>125</v>
      </c>
      <c r="F23" s="1">
        <v>150</v>
      </c>
      <c r="G23" s="1">
        <v>15</v>
      </c>
      <c r="H23" s="1">
        <v>10</v>
      </c>
      <c r="K23" s="1">
        <v>150</v>
      </c>
      <c r="L23" s="1">
        <v>100</v>
      </c>
      <c r="M23" s="1">
        <v>80</v>
      </c>
      <c r="N23" s="1">
        <v>50</v>
      </c>
      <c r="O23" s="1">
        <v>400</v>
      </c>
      <c r="P23" s="1">
        <v>80</v>
      </c>
      <c r="U23" s="1">
        <v>3</v>
      </c>
    </row>
    <row r="26" spans="1:21" x14ac:dyDescent="0.2">
      <c r="A26" s="1" t="s">
        <v>8</v>
      </c>
      <c r="B26" s="1" t="s">
        <v>13</v>
      </c>
      <c r="F26" s="1">
        <v>250</v>
      </c>
      <c r="G26" s="1">
        <v>250</v>
      </c>
      <c r="H26" s="1">
        <v>300</v>
      </c>
      <c r="I26" s="1">
        <v>800</v>
      </c>
      <c r="S26" s="1">
        <v>1600</v>
      </c>
    </row>
    <row r="27" spans="1:21" x14ac:dyDescent="0.2">
      <c r="A27" s="1" t="s">
        <v>8</v>
      </c>
      <c r="B27" s="1" t="s">
        <v>14</v>
      </c>
      <c r="F27" s="1">
        <v>400</v>
      </c>
      <c r="G27" s="1">
        <v>400</v>
      </c>
      <c r="H27" s="1">
        <v>1100</v>
      </c>
      <c r="I27" s="1">
        <v>200</v>
      </c>
      <c r="S27" s="1">
        <v>3200</v>
      </c>
    </row>
    <row r="28" spans="1:21" x14ac:dyDescent="0.2">
      <c r="A28" s="1" t="s">
        <v>8</v>
      </c>
      <c r="B28" s="1" t="s">
        <v>15</v>
      </c>
      <c r="F28" s="1">
        <v>1500</v>
      </c>
      <c r="G28" s="1">
        <v>1500</v>
      </c>
      <c r="H28" s="1">
        <v>125</v>
      </c>
      <c r="I28" s="1">
        <v>125</v>
      </c>
      <c r="S28" s="1">
        <v>4800</v>
      </c>
    </row>
    <row r="29" spans="1:21" x14ac:dyDescent="0.2">
      <c r="A29" s="1" t="s">
        <v>8</v>
      </c>
      <c r="B29" s="1" t="s">
        <v>16</v>
      </c>
      <c r="C29" s="1">
        <v>150</v>
      </c>
      <c r="D29" s="1">
        <v>75</v>
      </c>
      <c r="F29" s="1">
        <v>200</v>
      </c>
      <c r="G29" s="1">
        <v>35</v>
      </c>
      <c r="H29" s="1">
        <v>15</v>
      </c>
      <c r="K29" s="1">
        <v>200</v>
      </c>
      <c r="L29" s="1">
        <v>200</v>
      </c>
      <c r="M29" s="1">
        <v>80</v>
      </c>
      <c r="N29" s="1">
        <v>150</v>
      </c>
      <c r="O29" s="1">
        <v>150</v>
      </c>
      <c r="P29" s="1">
        <v>40</v>
      </c>
      <c r="U29" s="1">
        <v>1</v>
      </c>
    </row>
    <row r="30" spans="1:21" x14ac:dyDescent="0.2">
      <c r="A30" s="1" t="s">
        <v>8</v>
      </c>
      <c r="B30" s="1" t="s">
        <v>17</v>
      </c>
      <c r="C30" s="1">
        <v>100</v>
      </c>
      <c r="D30" s="1">
        <v>50</v>
      </c>
      <c r="F30" s="1">
        <v>350</v>
      </c>
      <c r="G30" s="1">
        <v>50</v>
      </c>
      <c r="H30" s="1">
        <v>30</v>
      </c>
      <c r="K30" s="1">
        <v>350</v>
      </c>
      <c r="L30" s="1">
        <v>400</v>
      </c>
      <c r="M30" s="1">
        <v>65</v>
      </c>
      <c r="N30" s="1">
        <v>100</v>
      </c>
      <c r="O30" s="1">
        <v>125</v>
      </c>
      <c r="P30" s="1">
        <v>30</v>
      </c>
      <c r="U30" s="1">
        <v>2</v>
      </c>
    </row>
    <row r="31" spans="1:21" x14ac:dyDescent="0.2">
      <c r="A31" s="1" t="s">
        <v>8</v>
      </c>
      <c r="B31" s="1" t="s">
        <v>18</v>
      </c>
      <c r="C31" s="1">
        <v>50</v>
      </c>
      <c r="D31" s="1">
        <v>25</v>
      </c>
      <c r="F31" s="1">
        <v>500</v>
      </c>
      <c r="G31" s="1">
        <v>65</v>
      </c>
      <c r="H31" s="1">
        <v>15</v>
      </c>
      <c r="K31" s="1">
        <v>500</v>
      </c>
      <c r="L31" s="1">
        <v>300</v>
      </c>
      <c r="M31" s="1">
        <v>50</v>
      </c>
      <c r="N31" s="1">
        <v>50</v>
      </c>
      <c r="O31" s="1">
        <v>100</v>
      </c>
      <c r="P31" s="1">
        <v>20</v>
      </c>
      <c r="U31" s="1">
        <v>3</v>
      </c>
    </row>
    <row r="33" spans="1:22" x14ac:dyDescent="0.2">
      <c r="A33" s="1" t="s">
        <v>37</v>
      </c>
      <c r="B33" s="1" t="s">
        <v>15</v>
      </c>
      <c r="F33" s="1">
        <v>2000</v>
      </c>
      <c r="R33" s="1">
        <v>4000</v>
      </c>
      <c r="S33" s="1">
        <v>4800</v>
      </c>
    </row>
    <row r="34" spans="1:22" x14ac:dyDescent="0.2">
      <c r="A34" s="1" t="s">
        <v>37</v>
      </c>
      <c r="B34" s="1" t="s">
        <v>16</v>
      </c>
      <c r="F34" s="1">
        <v>1250</v>
      </c>
      <c r="K34" s="1">
        <v>250</v>
      </c>
      <c r="V34" s="1">
        <v>1</v>
      </c>
    </row>
    <row r="36" spans="1:22" x14ac:dyDescent="0.2">
      <c r="A36" s="1" t="s">
        <v>38</v>
      </c>
      <c r="B36" s="1" t="s">
        <v>15</v>
      </c>
      <c r="F36" s="1">
        <v>3000</v>
      </c>
      <c r="K36" s="1">
        <v>750</v>
      </c>
      <c r="R36" s="1">
        <v>2000</v>
      </c>
      <c r="S36" s="1">
        <v>4800</v>
      </c>
    </row>
    <row r="37" spans="1:22" x14ac:dyDescent="0.2">
      <c r="A37" s="1" t="s">
        <v>38</v>
      </c>
      <c r="B37" s="1" t="s">
        <v>16</v>
      </c>
      <c r="F37" s="1">
        <v>1250</v>
      </c>
      <c r="U37" s="1">
        <v>2</v>
      </c>
    </row>
    <row r="43" spans="1:22" x14ac:dyDescent="0.2">
      <c r="A43" s="2" t="s">
        <v>36</v>
      </c>
      <c r="B43" s="2"/>
      <c r="C43" s="2"/>
      <c r="D43" s="2"/>
      <c r="E43" s="2"/>
    </row>
  </sheetData>
  <mergeCells count="1">
    <mergeCell ref="A43:E4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石油蒸馏数据</vt:lpstr>
      <vt:lpstr>裂解数据</vt:lpstr>
      <vt:lpstr>裂解后蒸馏数据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‏ 小鹿</dc:creator>
  <cp:lastModifiedBy>‏ 小鹿</cp:lastModifiedBy>
  <dcterms:created xsi:type="dcterms:W3CDTF">2026-01-29T11:06:40Z</dcterms:created>
  <dcterms:modified xsi:type="dcterms:W3CDTF">2026-01-29T14:37:41Z</dcterms:modified>
</cp:coreProperties>
</file>